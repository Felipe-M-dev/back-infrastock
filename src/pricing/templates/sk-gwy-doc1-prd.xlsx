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elipe.martinez\Downloads\"/>
    </mc:Choice>
  </mc:AlternateContent>
  <bookViews>
    <workbookView xWindow="0" yWindow="0" windowWidth="19200" windowHeight="6780" tabRatio="500"/>
  </bookViews>
  <sheets>
    <sheet name="Equipo-1" sheetId="1" r:id="rId1"/>
    <sheet name="Datos2" sheetId="2" r:id="rId2"/>
    <sheet name="FAQ" sheetId="3" r:id="rId3"/>
  </sheets>
  <definedNames>
    <definedName name="LINUX">Datos2!$H$2:$H$15</definedName>
    <definedName name="SO_LINUX">Datos2!$H$2:$H$15</definedName>
  </definedNames>
  <calcPr calcId="162913" iterateDelta="1E-4"/>
  <fileRecoveryPr repairLoad="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4" i="1" l="1"/>
  <c r="H28" i="1"/>
  <c r="H29" i="1" s="1"/>
  <c r="H30" i="1" s="1"/>
  <c r="B27" i="1"/>
  <c r="B28" i="1" s="1"/>
  <c r="H34" i="1" s="1"/>
  <c r="H26" i="1"/>
</calcChain>
</file>

<file path=xl/sharedStrings.xml><?xml version="1.0" encoding="utf-8"?>
<sst xmlns="http://schemas.openxmlformats.org/spreadsheetml/2006/main" count="328" uniqueCount="309">
  <si>
    <t xml:space="preserve">                       Formulario Solicitud Provisión v1.0 (Update: 22 Oct 2021)</t>
  </si>
  <si>
    <t>INFORMACION GENERAL PROYECTO</t>
  </si>
  <si>
    <t>Fecha Solicitud</t>
  </si>
  <si>
    <t>Cliente (Alias o Razón Social)</t>
  </si>
  <si>
    <t>Samex</t>
  </si>
  <si>
    <t>Nombre Cliente // Correo // Teléfono</t>
  </si>
  <si>
    <t>Felipe Martinez</t>
  </si>
  <si>
    <t>felipe.martinez@onitec.cl</t>
  </si>
  <si>
    <t>+56 9 3356 5317</t>
  </si>
  <si>
    <t>GO Proyecto // USV TI // ID CLARITY</t>
  </si>
  <si>
    <t>Origen de Solicitud</t>
  </si>
  <si>
    <t>Director de Negocio</t>
  </si>
  <si>
    <t>Elisabeth Bravo</t>
  </si>
  <si>
    <t>Gestor de Cliente</t>
  </si>
  <si>
    <t>Carlos Gatica</t>
  </si>
  <si>
    <t>Preventa</t>
  </si>
  <si>
    <t>Area/Subgerencia</t>
  </si>
  <si>
    <t>Duración Contrato (Inicio y Fin)</t>
  </si>
  <si>
    <t>SERVIDOR VIRTUAL</t>
  </si>
  <si>
    <t>Plataforma</t>
  </si>
  <si>
    <t>ESC CDLV</t>
  </si>
  <si>
    <t>Nombre vDC (Virtual Data Center)</t>
  </si>
  <si>
    <t>vDC_TURBUS</t>
  </si>
  <si>
    <t>Nombre Máquina Virtual</t>
  </si>
  <si>
    <t>sx-mongo-prd</t>
  </si>
  <si>
    <t>Hostname (15 caracteres máximo si es Windows)</t>
  </si>
  <si>
    <t>Sistema Operativo / Versión / Arquitectura / Idioma</t>
  </si>
  <si>
    <t>LINUX</t>
  </si>
  <si>
    <t>Redhat Linux 8.10</t>
  </si>
  <si>
    <t>64 bits</t>
  </si>
  <si>
    <t>Ingles</t>
  </si>
  <si>
    <t>Otro SO (completar solo si no esta en listado anterior)</t>
  </si>
  <si>
    <t>Base de Datos (si aplica)</t>
  </si>
  <si>
    <t>MongoDB Server</t>
  </si>
  <si>
    <t>Servicios de SO (si aplican)</t>
  </si>
  <si>
    <t>Consideraciones  Servicios SO</t>
  </si>
  <si>
    <t>vCPU</t>
  </si>
  <si>
    <t>Memoria RAM (GB)</t>
  </si>
  <si>
    <t>Tamaño Total DISCO (GB)</t>
  </si>
  <si>
    <t>Tamaño Disco C:\</t>
  </si>
  <si>
    <t>Paginación Disco C:\</t>
  </si>
  <si>
    <t>Paginación Sugerida</t>
  </si>
  <si>
    <t>4 vCPU</t>
  </si>
  <si>
    <t>8 GB vRAM</t>
  </si>
  <si>
    <t>Unidad Adicional  1 (Windows)</t>
  </si>
  <si>
    <t>Restante</t>
  </si>
  <si>
    <t>Unidad Adicional 2 (Windows)</t>
  </si>
  <si>
    <t>Unidad Adicional 3 (Windows)</t>
  </si>
  <si>
    <t>Layout Disco (Linux) GB</t>
  </si>
  <si>
    <t>/BOOT (recomendado 1 GB)</t>
  </si>
  <si>
    <t>/ (recomendado 20 GB o más)</t>
  </si>
  <si>
    <t>/HOME (recomendado 5 GB)</t>
  </si>
  <si>
    <t>SWAP Sugerido</t>
  </si>
  <si>
    <t>/ Sugerido</t>
  </si>
  <si>
    <t>Otros (Personalizado) (GB)</t>
  </si>
  <si>
    <t>SWAP Linux (GB)</t>
  </si>
  <si>
    <t>no</t>
  </si>
  <si>
    <t>TIPO RED</t>
  </si>
  <si>
    <t>IP</t>
  </si>
  <si>
    <t>MASK</t>
  </si>
  <si>
    <t>GW</t>
  </si>
  <si>
    <t>DNS</t>
  </si>
  <si>
    <t>VLAN3</t>
  </si>
  <si>
    <t>172.20.4.2</t>
  </si>
  <si>
    <t>255.255.252.0</t>
  </si>
  <si>
    <t>172.20.4.91</t>
  </si>
  <si>
    <t>172.20.5.30</t>
  </si>
  <si>
    <t>172.20.5.31</t>
  </si>
  <si>
    <t>RED RESPALDO</t>
  </si>
  <si>
    <t>RED ADMINISTRACION</t>
  </si>
  <si>
    <t>Indicar Política de Respaldo</t>
  </si>
  <si>
    <t>NUEVA</t>
  </si>
  <si>
    <t>Nueva Política de Respaldo (Indicar Tipo Respaldo, Retención y Características)</t>
  </si>
  <si>
    <t>Respaldo Diario + Replica Amunategui</t>
  </si>
  <si>
    <t>ADMINISTRACION DE SERVICIOS VM 1</t>
  </si>
  <si>
    <t>Posibles Mejoras</t>
  </si>
  <si>
    <t>SISTEMA OPERATIVO</t>
  </si>
  <si>
    <t>ENTEL</t>
  </si>
  <si>
    <t>Estimado Cliente, si usted cree que algo se puede mejorar sobre este formulario, favor comentar acá, juntos lo vamos perfeccionando!</t>
  </si>
  <si>
    <t>ANTIVIRUS VM</t>
  </si>
  <si>
    <t>MONITOREO VM</t>
  </si>
  <si>
    <t>RESPALDO VM</t>
  </si>
  <si>
    <t>ADMINISTRACION MOTOR BASE DE DATOS</t>
  </si>
  <si>
    <t>NO APLICA</t>
  </si>
  <si>
    <t>MONITOREO BD</t>
  </si>
  <si>
    <t>RESPALDO BD</t>
  </si>
  <si>
    <t>Arq</t>
  </si>
  <si>
    <t>Idioma</t>
  </si>
  <si>
    <t>AIX</t>
  </si>
  <si>
    <t>WINDOWS</t>
  </si>
  <si>
    <t>OTRO</t>
  </si>
  <si>
    <t>vRAM</t>
  </si>
  <si>
    <t>Unidades</t>
  </si>
  <si>
    <t>BD</t>
  </si>
  <si>
    <t>Servicios</t>
  </si>
  <si>
    <t>Política Respaldo</t>
  </si>
  <si>
    <t>SERVICIOS SO</t>
  </si>
  <si>
    <t>Area</t>
  </si>
  <si>
    <t>Layout Disco Linux</t>
  </si>
  <si>
    <t>AWS</t>
  </si>
  <si>
    <t>32 bits</t>
  </si>
  <si>
    <t>Español</t>
  </si>
  <si>
    <t>SO AIX</t>
  </si>
  <si>
    <t>Red Hat Enterprise Linux, versión mínima 9.6</t>
  </si>
  <si>
    <t>Windows Server 2008</t>
  </si>
  <si>
    <t>Otro Sistema Operativo</t>
  </si>
  <si>
    <t>1 vCPU</t>
  </si>
  <si>
    <t>4 GB vRAM</t>
  </si>
  <si>
    <t>D</t>
  </si>
  <si>
    <t>DB2</t>
  </si>
  <si>
    <t>Evolutivo de Cliente (Empresas) (SDV)</t>
  </si>
  <si>
    <t>ACTUAL (STANDARD ENTEL)</t>
  </si>
  <si>
    <t>AD</t>
  </si>
  <si>
    <t>EMPRESAS</t>
  </si>
  <si>
    <t>/OPT</t>
  </si>
  <si>
    <t>AZURE</t>
  </si>
  <si>
    <t>Debian 8.10</t>
  </si>
  <si>
    <t>Windows Server 2012</t>
  </si>
  <si>
    <t>2 vCPU</t>
  </si>
  <si>
    <t>8 GB VRAM</t>
  </si>
  <si>
    <t>E</t>
  </si>
  <si>
    <t>INFORMIX 11.50</t>
  </si>
  <si>
    <t>CLIENTE</t>
  </si>
  <si>
    <t>Evolutivo de Cliente (Corporaciones)</t>
  </si>
  <si>
    <t>DHCP</t>
  </si>
  <si>
    <t>VP CORP</t>
  </si>
  <si>
    <t>/VAR</t>
  </si>
  <si>
    <t>ESC AMU</t>
  </si>
  <si>
    <t>Debian 9.3</t>
  </si>
  <si>
    <t>Windows Server 2016 R2 Standard</t>
  </si>
  <si>
    <t>3 VCPU</t>
  </si>
  <si>
    <t>10 GB vRAM</t>
  </si>
  <si>
    <t>F</t>
  </si>
  <si>
    <t>INFORMIX 11.70</t>
  </si>
  <si>
    <t>Proyecto (PMO)</t>
  </si>
  <si>
    <t>/USR</t>
  </si>
  <si>
    <t>Oracle Linux 6.9</t>
  </si>
  <si>
    <t>Windows Server 2019 R2 Standard</t>
  </si>
  <si>
    <t>12 GB vRAM</t>
  </si>
  <si>
    <t>G</t>
  </si>
  <si>
    <t>INFORMIX 9.40</t>
  </si>
  <si>
    <t>FS</t>
  </si>
  <si>
    <t>/TMP</t>
  </si>
  <si>
    <t>ESC CLUSTER SAP</t>
  </si>
  <si>
    <t>Oracle Linux 7.4</t>
  </si>
  <si>
    <t>5 vCPU</t>
  </si>
  <si>
    <t>14 GB vRAM</t>
  </si>
  <si>
    <t>H</t>
  </si>
  <si>
    <t>MariaDB</t>
  </si>
  <si>
    <t>FTP</t>
  </si>
  <si>
    <t>Otros (Personalizado)</t>
  </si>
  <si>
    <t>GCP</t>
  </si>
  <si>
    <t>Red Hat Enterprise Linux 6.9</t>
  </si>
  <si>
    <t>6 vCPU</t>
  </si>
  <si>
    <t>16 GB VRAM</t>
  </si>
  <si>
    <t>I</t>
  </si>
  <si>
    <t>MONGODB 4.2.5</t>
  </si>
  <si>
    <t>LICENCIAS</t>
  </si>
  <si>
    <t>HUAWEI</t>
  </si>
  <si>
    <t>Red Hat Enterprise Linux 7.2</t>
  </si>
  <si>
    <t>7 vCPU</t>
  </si>
  <si>
    <t>28 GB vRAM</t>
  </si>
  <si>
    <t>J</t>
  </si>
  <si>
    <t>MYSQL 5.0</t>
  </si>
  <si>
    <t>HUAWEI ENTEL</t>
  </si>
  <si>
    <t>Red Hat Enterprise Linux 7.4</t>
  </si>
  <si>
    <t>8 vCPU</t>
  </si>
  <si>
    <t>30 GB vRAM</t>
  </si>
  <si>
    <t>K</t>
  </si>
  <si>
    <t>MYSQL 5.1</t>
  </si>
  <si>
    <t>OD 3.14</t>
  </si>
  <si>
    <t>Red Hat Enterprise Linux 7.7</t>
  </si>
  <si>
    <t>9 vCPU</t>
  </si>
  <si>
    <t>32 GB vRAM</t>
  </si>
  <si>
    <t>L</t>
  </si>
  <si>
    <t>MYSQL 5.5</t>
  </si>
  <si>
    <t>OD RISK</t>
  </si>
  <si>
    <t>Red Hat Linux 8 With GUI</t>
  </si>
  <si>
    <t>10 vCPU</t>
  </si>
  <si>
    <t>64 GB vRAM</t>
  </si>
  <si>
    <t>M</t>
  </si>
  <si>
    <t>MYSQL 5.6</t>
  </si>
  <si>
    <t>Ubuntu 16.04.3</t>
  </si>
  <si>
    <t>11 vCPU</t>
  </si>
  <si>
    <t>96 GB vRAM</t>
  </si>
  <si>
    <t>N</t>
  </si>
  <si>
    <t>MYSQL 5.7</t>
  </si>
  <si>
    <t>Ubuntu 17.10</t>
  </si>
  <si>
    <t>12 vCPU</t>
  </si>
  <si>
    <t>128 GB VRAM</t>
  </si>
  <si>
    <t>O</t>
  </si>
  <si>
    <t>ORACLE 10g</t>
  </si>
  <si>
    <t>Red Hat Enterpirse Linux 8.7</t>
  </si>
  <si>
    <t>13 vCPU</t>
  </si>
  <si>
    <t>256 GB VRAM</t>
  </si>
  <si>
    <t>P</t>
  </si>
  <si>
    <t>ORACLE 11g</t>
  </si>
  <si>
    <t>Red Hat Enterpirse Linux 8.2</t>
  </si>
  <si>
    <t>14 vCPU</t>
  </si>
  <si>
    <t>6 GB vRAM</t>
  </si>
  <si>
    <t>Q</t>
  </si>
  <si>
    <t>ORACLE 12c</t>
  </si>
  <si>
    <t>15 vCPU</t>
  </si>
  <si>
    <t>R</t>
  </si>
  <si>
    <t>ORACLE 18c</t>
  </si>
  <si>
    <t>16 vCPU</t>
  </si>
  <si>
    <t>S</t>
  </si>
  <si>
    <t>ORACLE 9i</t>
  </si>
  <si>
    <t>17 vCPU</t>
  </si>
  <si>
    <t>T</t>
  </si>
  <si>
    <t>POSTGRESQL 8.1</t>
  </si>
  <si>
    <t>18 vCPU</t>
  </si>
  <si>
    <t>U</t>
  </si>
  <si>
    <t>POSTGRESQL 8.4</t>
  </si>
  <si>
    <t>19 vCPU</t>
  </si>
  <si>
    <t>V</t>
  </si>
  <si>
    <t>POSTGRESQL 9.3</t>
  </si>
  <si>
    <t>20 vCPU</t>
  </si>
  <si>
    <t>W</t>
  </si>
  <si>
    <t>SQL 2008 R2</t>
  </si>
  <si>
    <t>21 vCPU</t>
  </si>
  <si>
    <t>X</t>
  </si>
  <si>
    <t>SQL 2012</t>
  </si>
  <si>
    <t>22 vCPU</t>
  </si>
  <si>
    <t>Y</t>
  </si>
  <si>
    <t>SQL 2014</t>
  </si>
  <si>
    <t>23 vCPU</t>
  </si>
  <si>
    <t>Z</t>
  </si>
  <si>
    <t>SQL 2016</t>
  </si>
  <si>
    <t>24 vCPU</t>
  </si>
  <si>
    <t>SQL 2017</t>
  </si>
  <si>
    <t>25 vCPU</t>
  </si>
  <si>
    <t>SQL 2019</t>
  </si>
  <si>
    <t>26 vCPU</t>
  </si>
  <si>
    <t>SYBASE ASE 15.5</t>
  </si>
  <si>
    <t>27 vCPU</t>
  </si>
  <si>
    <t>SYBASE IQ 16.0</t>
  </si>
  <si>
    <t>28 vCPU</t>
  </si>
  <si>
    <t>VERTICA 9.x</t>
  </si>
  <si>
    <t>29 vCPU</t>
  </si>
  <si>
    <t>30 vCPU</t>
  </si>
  <si>
    <t>31 vCPU</t>
  </si>
  <si>
    <t>32 vCPU</t>
  </si>
  <si>
    <t>33 vCPU</t>
  </si>
  <si>
    <t>34 vCPU</t>
  </si>
  <si>
    <t>35 vCPU</t>
  </si>
  <si>
    <t>36 vCPU</t>
  </si>
  <si>
    <t>37 vCPU</t>
  </si>
  <si>
    <t>38 vCPU</t>
  </si>
  <si>
    <t>39 vCPU</t>
  </si>
  <si>
    <t>40 vCPU</t>
  </si>
  <si>
    <t>41 vCPU</t>
  </si>
  <si>
    <t>42 vCPU</t>
  </si>
  <si>
    <t>43 vCPU</t>
  </si>
  <si>
    <t>44 vCPU</t>
  </si>
  <si>
    <t>45 vCPU</t>
  </si>
  <si>
    <t>46 vCPU</t>
  </si>
  <si>
    <t>47 vCPU</t>
  </si>
  <si>
    <t>48 vCPU</t>
  </si>
  <si>
    <t>49 vCPU</t>
  </si>
  <si>
    <t>50 vCPU</t>
  </si>
  <si>
    <t>51 vCPU</t>
  </si>
  <si>
    <t>52 vCPU</t>
  </si>
  <si>
    <t>53 vCPU</t>
  </si>
  <si>
    <t>54 vCPU</t>
  </si>
  <si>
    <t>55 vCPU</t>
  </si>
  <si>
    <t>56 vCPU</t>
  </si>
  <si>
    <t>57 vCPU</t>
  </si>
  <si>
    <t>58 vCPU</t>
  </si>
  <si>
    <t>59 vCPU</t>
  </si>
  <si>
    <t>60 vCPU</t>
  </si>
  <si>
    <t>61 vCPU</t>
  </si>
  <si>
    <t>62 vCPU</t>
  </si>
  <si>
    <t>63 vCPU</t>
  </si>
  <si>
    <t>64 vCPU</t>
  </si>
  <si>
    <t>65 vCPU</t>
  </si>
  <si>
    <t>66 vCPU</t>
  </si>
  <si>
    <t>67 vCPU</t>
  </si>
  <si>
    <t>68 vCPU</t>
  </si>
  <si>
    <t>69 vCPU</t>
  </si>
  <si>
    <t>70 vCPU</t>
  </si>
  <si>
    <t>71 vCPU</t>
  </si>
  <si>
    <t>72 vCPU</t>
  </si>
  <si>
    <t>73 vCPU</t>
  </si>
  <si>
    <t>74 vCPU</t>
  </si>
  <si>
    <t>75 vCPU</t>
  </si>
  <si>
    <t>76 vCPU</t>
  </si>
  <si>
    <t>77 vCPU</t>
  </si>
  <si>
    <t>78 vCPU</t>
  </si>
  <si>
    <t>79 vCPU</t>
  </si>
  <si>
    <t>80 vCPU</t>
  </si>
  <si>
    <t>81 vCPU</t>
  </si>
  <si>
    <t>82 vCPU</t>
  </si>
  <si>
    <t>83 vCPU</t>
  </si>
  <si>
    <t>84 vCPU</t>
  </si>
  <si>
    <t>85 vCPU</t>
  </si>
  <si>
    <t>86 vCPU</t>
  </si>
  <si>
    <t>87 vCPU</t>
  </si>
  <si>
    <t>88 vCPU</t>
  </si>
  <si>
    <t>89 vCPU</t>
  </si>
  <si>
    <t>90 vCPU</t>
  </si>
  <si>
    <t>91 vCPU</t>
  </si>
  <si>
    <t>92 vCPU</t>
  </si>
  <si>
    <t>93 vCPU</t>
  </si>
  <si>
    <t>94 vCPU</t>
  </si>
  <si>
    <t>95 vCPU</t>
  </si>
  <si>
    <t>96 vCPU</t>
  </si>
  <si>
    <t>Politica Respaldo Estándar ENTEL</t>
  </si>
  <si>
    <t>Tabla Recomendación SWAP para Equipos Linux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</si>
</sst>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ddd&quot;, &quot;mmmm\ dd&quot;, &quot;yyyy"/>
    <numFmt numFmtId="165" formatCode="mmm\-yy"/>
  </numFmts>
  <fonts count="21">
    <font>
      <sz val="11"/>
      <color theme="1"/>
      <name val="Calibri"/>
      <family val="2"/>
      <charset val="1"/>
    </font>
    <font>
      <b/>
      <sz val="16"/>
      <color theme="4" tint="-0.249977111117893"/>
      <name val="Barlow"/>
      <charset val="1"/>
    </font>
    <font>
      <sz val="11"/>
      <color theme="1"/>
      <name val="Barlow"/>
      <charset val="1"/>
    </font>
    <font>
      <b/>
      <sz val="12"/>
      <color theme="5"/>
      <name val="Barlow"/>
      <charset val="1"/>
    </font>
    <font>
      <b/>
      <sz val="10"/>
      <color theme="4" tint="-0.249977111117893"/>
      <name val="Barlow"/>
      <charset val="1"/>
    </font>
    <font>
      <b/>
      <sz val="10"/>
      <name val="Barlow"/>
      <charset val="1"/>
    </font>
    <font>
      <u/>
      <sz val="11"/>
      <color theme="10"/>
      <name val="Calibri"/>
      <family val="2"/>
      <charset val="1"/>
    </font>
    <font>
      <b/>
      <sz val="11"/>
      <color theme="4" tint="-0.249977111117893"/>
      <name val="Barlow"/>
      <charset val="1"/>
    </font>
    <font>
      <sz val="11"/>
      <color theme="4" tint="-0.499984740745262"/>
      <name val="Barlow"/>
      <charset val="1"/>
    </font>
    <font>
      <sz val="11"/>
      <color theme="0" tint="-0.34998626667073579"/>
      <name val="Barlow"/>
      <charset val="1"/>
    </font>
    <font>
      <sz val="10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i/>
      <sz val="10"/>
      <color theme="1"/>
      <name val="Calibri"/>
      <family val="2"/>
      <charset val="1"/>
    </font>
    <font>
      <sz val="8"/>
      <color theme="0" tint="-0.249977111117893"/>
      <name val="Calibri"/>
      <family val="2"/>
      <charset val="1"/>
    </font>
    <font>
      <sz val="8"/>
      <color theme="0"/>
      <name val="Calibri"/>
      <family val="2"/>
      <charset val="1"/>
    </font>
    <font>
      <sz val="10"/>
      <color rgb="FF3A3A3A"/>
      <name val="Open Sans"/>
      <charset val="1"/>
    </font>
    <font>
      <b/>
      <sz val="10"/>
      <color theme="5"/>
      <name val="Barlow"/>
      <charset val="1"/>
    </font>
    <font>
      <b/>
      <sz val="10"/>
      <color theme="0"/>
      <name val="Barlow"/>
      <charset val="1"/>
    </font>
    <font>
      <b/>
      <sz val="10"/>
      <color theme="1"/>
      <name val="Bahnschrift Light"/>
      <family val="2"/>
      <charset val="1"/>
    </font>
    <font>
      <sz val="11"/>
      <color rgb="FF444444"/>
      <name val="Calibri"/>
      <family val="2"/>
      <charset val="1"/>
    </font>
    <font>
      <b/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E7E6E6"/>
      </patternFill>
    </fill>
    <fill>
      <patternFill patternType="solid">
        <fgColor theme="2"/>
        <bgColor rgb="FFDAE3F3"/>
      </patternFill>
    </fill>
    <fill>
      <patternFill patternType="solid">
        <fgColor theme="0" tint="-0.249977111117893"/>
        <bgColor rgb="FFA6A6A6"/>
      </patternFill>
    </fill>
    <fill>
      <patternFill patternType="solid">
        <fgColor theme="4" tint="0.79989013336588644"/>
        <bgColor rgb="FFE7E6E6"/>
      </patternFill>
    </fill>
    <fill>
      <patternFill patternType="solid">
        <fgColor theme="4" tint="0.39988402966399123"/>
        <bgColor rgb="FFA6A6A6"/>
      </patternFill>
    </fill>
    <fill>
      <patternFill patternType="solid">
        <fgColor rgb="FFFFC000"/>
        <bgColor rgb="FFFF9900"/>
      </patternFill>
    </fill>
    <fill>
      <patternFill patternType="solid">
        <fgColor theme="7" tint="0.39988402966399123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</fills>
  <borders count="6">
    <border>
      <left/>
      <right/>
      <top/>
      <bottom/>
      <diagonal/>
    </border>
    <border>
      <left style="dotted">
        <color theme="0" tint="-0.14999847407452621"/>
      </left>
      <right style="dotted">
        <color theme="0" tint="-0.14999847407452621"/>
      </right>
      <top style="dotted">
        <color theme="0" tint="-0.1499984740745262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2" fillId="0" borderId="2" xfId="0" applyFont="1" applyBorder="1" applyAlignment="1">
      <alignment horizontal="left" wrapText="1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/>
    </xf>
    <xf numFmtId="1" fontId="5" fillId="0" borderId="2" xfId="0" applyNumberFormat="1" applyFont="1" applyBorder="1" applyAlignment="1">
      <alignment horizontal="left"/>
    </xf>
    <xf numFmtId="1" fontId="5" fillId="2" borderId="2" xfId="0" applyNumberFormat="1" applyFont="1" applyFill="1" applyBorder="1" applyAlignment="1">
      <alignment horizontal="left"/>
    </xf>
    <xf numFmtId="165" fontId="5" fillId="2" borderId="2" xfId="0" applyNumberFormat="1" applyFont="1" applyFill="1" applyBorder="1" applyAlignment="1">
      <alignment horizontal="left"/>
    </xf>
    <xf numFmtId="164" fontId="5" fillId="2" borderId="2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/>
    </xf>
    <xf numFmtId="0" fontId="2" fillId="2" borderId="0" xfId="0" applyFont="1" applyFill="1"/>
    <xf numFmtId="0" fontId="4" fillId="4" borderId="2" xfId="0" applyFont="1" applyFill="1" applyBorder="1"/>
    <xf numFmtId="165" fontId="6" fillId="2" borderId="2" xfId="0" applyNumberFormat="1" applyFont="1" applyFill="1" applyBorder="1" applyAlignment="1">
      <alignment horizontal="left"/>
    </xf>
    <xf numFmtId="0" fontId="7" fillId="0" borderId="0" xfId="0" applyFont="1"/>
    <xf numFmtId="165" fontId="8" fillId="0" borderId="0" xfId="0" applyNumberFormat="1" applyFont="1" applyAlignment="1">
      <alignment wrapText="1"/>
    </xf>
    <xf numFmtId="0" fontId="7" fillId="0" borderId="0" xfId="0" applyFont="1" applyAlignment="1">
      <alignment horizontal="right"/>
    </xf>
    <xf numFmtId="1" fontId="9" fillId="0" borderId="0" xfId="0" applyNumberFormat="1" applyFont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 wrapText="1"/>
    </xf>
    <xf numFmtId="0" fontId="11" fillId="0" borderId="2" xfId="0" applyFont="1" applyBorder="1"/>
    <xf numFmtId="49" fontId="11" fillId="0" borderId="2" xfId="0" applyNumberFormat="1" applyFont="1" applyBorder="1"/>
    <xf numFmtId="0" fontId="11" fillId="0" borderId="2" xfId="0" applyFont="1" applyBorder="1" applyAlignment="1">
      <alignment horizontal="center" vertical="center"/>
    </xf>
    <xf numFmtId="0" fontId="10" fillId="0" borderId="0" xfId="0" applyFont="1"/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7" borderId="2" xfId="0" applyFont="1" applyFill="1" applyBorder="1"/>
    <xf numFmtId="1" fontId="10" fillId="7" borderId="2" xfId="0" applyNumberFormat="1" applyFont="1" applyFill="1" applyBorder="1"/>
    <xf numFmtId="0" fontId="4" fillId="0" borderId="0" xfId="0" applyFont="1" applyAlignment="1">
      <alignment horizontal="right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1" fontId="10" fillId="0" borderId="0" xfId="0" applyNumberFormat="1" applyFont="1"/>
    <xf numFmtId="0" fontId="4" fillId="8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5" fillId="0" borderId="2" xfId="0" applyFont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4" fillId="5" borderId="2" xfId="0" applyFont="1" applyFill="1" applyBorder="1" applyAlignment="1">
      <alignment horizontal="right" vertical="center" wrapText="1"/>
    </xf>
    <xf numFmtId="0" fontId="16" fillId="0" borderId="0" xfId="0" applyFont="1" applyAlignment="1">
      <alignment vertical="center"/>
    </xf>
    <xf numFmtId="0" fontId="11" fillId="5" borderId="2" xfId="0" applyFont="1" applyFill="1" applyBorder="1" applyAlignment="1">
      <alignment horizontal="right"/>
    </xf>
    <xf numFmtId="0" fontId="10" fillId="0" borderId="2" xfId="0" applyFont="1" applyBorder="1" applyAlignment="1">
      <alignment horizontal="center"/>
    </xf>
    <xf numFmtId="0" fontId="19" fillId="0" borderId="0" xfId="0" applyFont="1"/>
    <xf numFmtId="0" fontId="0" fillId="0" borderId="0" xfId="0" applyFont="1"/>
    <xf numFmtId="0" fontId="20" fillId="0" borderId="0" xfId="0" applyFont="1"/>
    <xf numFmtId="0" fontId="4" fillId="6" borderId="3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right"/>
    </xf>
    <xf numFmtId="0" fontId="10" fillId="0" borderId="0" xfId="0" applyFont="1" applyBorder="1" applyAlignment="1">
      <alignment horizontal="center"/>
    </xf>
    <xf numFmtId="0" fontId="4" fillId="8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0" fillId="9" borderId="2" xfId="0" applyFont="1" applyFill="1" applyBorder="1" applyAlignment="1">
      <alignment horizontal="left" vertical="center"/>
    </xf>
    <xf numFmtId="0" fontId="16" fillId="3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E7E6E6"/>
      <rgbColor rgb="FFDAE3F3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ED7D31"/>
      <rgbColor rgb="FF666699"/>
      <rgbColor rgb="FFA6A6A6"/>
      <rgbColor rgb="FF203864"/>
      <rgbColor rgb="FF339966"/>
      <rgbColor rgb="FF003300"/>
      <rgbColor rgb="FF444444"/>
      <rgbColor rgb="FF993300"/>
      <rgbColor rgb="FF993366"/>
      <rgbColor rgb="FF2F5597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15840</xdr:colOff>
      <xdr:row>0</xdr:row>
      <xdr:rowOff>84600</xdr:rowOff>
    </xdr:from>
    <xdr:to>
      <xdr:col>0</xdr:col>
      <xdr:colOff>933120</xdr:colOff>
      <xdr:row>1</xdr:row>
      <xdr:rowOff>98280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5840" y="84600"/>
          <a:ext cx="917280" cy="270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744840</xdr:colOff>
      <xdr:row>20</xdr:row>
      <xdr:rowOff>62280</xdr:rowOff>
    </xdr:from>
    <xdr:to>
      <xdr:col>7</xdr:col>
      <xdr:colOff>135000</xdr:colOff>
      <xdr:row>35</xdr:row>
      <xdr:rowOff>132120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550160" y="3872160"/>
          <a:ext cx="6940080" cy="2927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23040</xdr:colOff>
      <xdr:row>2</xdr:row>
      <xdr:rowOff>76320</xdr:rowOff>
    </xdr:from>
    <xdr:to>
      <xdr:col>8</xdr:col>
      <xdr:colOff>365760</xdr:colOff>
      <xdr:row>17</xdr:row>
      <xdr:rowOff>12960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633320" y="457200"/>
          <a:ext cx="7893000" cy="2794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showGridLines="0" tabSelected="1" zoomScaleNormal="100" workbookViewId="0">
      <selection activeCell="B40" sqref="B40"/>
    </sheetView>
  </sheetViews>
  <sheetFormatPr baseColWidth="10" defaultColWidth="11.42578125" defaultRowHeight="15"/>
  <cols>
    <col min="1" max="1" width="49.7109375" customWidth="1"/>
    <col min="2" max="2" width="15.140625" customWidth="1"/>
    <col min="3" max="3" width="33.140625" customWidth="1"/>
    <col min="4" max="4" width="20" customWidth="1"/>
    <col min="5" max="5" width="20.140625" customWidth="1"/>
    <col min="6" max="6" width="17.7109375" customWidth="1"/>
    <col min="7" max="7" width="7.42578125" customWidth="1"/>
    <col min="9" max="9" width="9.28515625" customWidth="1"/>
  </cols>
  <sheetData>
    <row r="1" spans="1:6" ht="20.25" customHeight="1">
      <c r="A1" s="14" t="s">
        <v>0</v>
      </c>
      <c r="B1" s="14"/>
      <c r="C1" s="14"/>
      <c r="D1" s="14"/>
      <c r="E1" s="14"/>
      <c r="F1" s="14"/>
    </row>
    <row r="2" spans="1:6">
      <c r="A2" s="15"/>
      <c r="B2" s="15"/>
      <c r="C2" s="15"/>
      <c r="D2" s="15"/>
      <c r="E2" s="15"/>
      <c r="F2" s="15"/>
    </row>
    <row r="3" spans="1:6" ht="15.75" customHeight="1">
      <c r="A3" s="13" t="s">
        <v>1</v>
      </c>
      <c r="B3" s="13"/>
      <c r="C3" s="13"/>
      <c r="D3" s="13"/>
      <c r="E3" s="13"/>
      <c r="F3" s="13"/>
    </row>
    <row r="4" spans="1:6" ht="21" customHeight="1">
      <c r="A4" s="16" t="s">
        <v>2</v>
      </c>
      <c r="B4" s="12">
        <v>46280.588318125003</v>
      </c>
      <c r="C4" s="12"/>
      <c r="D4" s="12"/>
      <c r="E4" s="12"/>
      <c r="F4" s="12"/>
    </row>
    <row r="5" spans="1:6">
      <c r="A5" s="16" t="s">
        <v>3</v>
      </c>
      <c r="B5" s="11" t="s">
        <v>4</v>
      </c>
      <c r="C5" s="11"/>
      <c r="D5" s="11"/>
      <c r="E5" s="11"/>
      <c r="F5" s="11"/>
    </row>
    <row r="6" spans="1:6">
      <c r="A6" s="16" t="s">
        <v>5</v>
      </c>
      <c r="B6" s="11" t="s">
        <v>6</v>
      </c>
      <c r="C6" s="11"/>
      <c r="D6" s="17" t="s">
        <v>7</v>
      </c>
      <c r="E6" s="10" t="s">
        <v>8</v>
      </c>
      <c r="F6" s="10"/>
    </row>
    <row r="7" spans="1:6">
      <c r="A7" s="16" t="s">
        <v>9</v>
      </c>
      <c r="B7" s="10"/>
      <c r="C7" s="10"/>
      <c r="D7" s="10"/>
      <c r="E7" s="10"/>
      <c r="F7" s="10"/>
    </row>
    <row r="8" spans="1:6">
      <c r="A8" s="16" t="s">
        <v>10</v>
      </c>
      <c r="B8" s="9"/>
      <c r="C8" s="9"/>
      <c r="D8" s="9"/>
      <c r="E8" s="9"/>
      <c r="F8" s="9"/>
    </row>
    <row r="9" spans="1:6">
      <c r="A9" s="16" t="s">
        <v>11</v>
      </c>
      <c r="B9" s="8" t="s">
        <v>12</v>
      </c>
      <c r="C9" s="8"/>
      <c r="D9" s="8"/>
      <c r="E9" s="8"/>
      <c r="F9" s="8"/>
    </row>
    <row r="10" spans="1:6">
      <c r="A10" s="16" t="s">
        <v>13</v>
      </c>
      <c r="B10" s="8" t="s">
        <v>14</v>
      </c>
      <c r="C10" s="8"/>
      <c r="D10" s="8"/>
      <c r="E10" s="8"/>
      <c r="F10" s="8"/>
    </row>
    <row r="11" spans="1:6">
      <c r="A11" s="16" t="s">
        <v>15</v>
      </c>
      <c r="B11" s="11"/>
      <c r="C11" s="11"/>
      <c r="D11" s="11"/>
      <c r="E11" s="11"/>
      <c r="F11" s="11"/>
    </row>
    <row r="12" spans="1:6">
      <c r="A12" s="16" t="s">
        <v>16</v>
      </c>
      <c r="B12" s="8"/>
      <c r="C12" s="8"/>
      <c r="D12" s="8"/>
      <c r="E12" s="8"/>
      <c r="F12" s="8"/>
    </row>
    <row r="13" spans="1:6">
      <c r="A13" s="16" t="s">
        <v>17</v>
      </c>
      <c r="B13" s="8"/>
      <c r="C13" s="8"/>
      <c r="D13" s="8"/>
      <c r="E13" s="8"/>
      <c r="F13" s="8"/>
    </row>
    <row r="14" spans="1:6">
      <c r="A14" s="18"/>
      <c r="B14" s="18"/>
      <c r="C14" s="18"/>
      <c r="D14" s="19"/>
      <c r="E14" s="20"/>
      <c r="F14" s="21"/>
    </row>
    <row r="15" spans="1:6" ht="15.75" customHeight="1">
      <c r="A15" s="13" t="s">
        <v>18</v>
      </c>
      <c r="B15" s="13"/>
      <c r="C15" s="13"/>
      <c r="D15" s="13"/>
      <c r="E15" s="13"/>
      <c r="F15" s="13"/>
    </row>
    <row r="16" spans="1:6">
      <c r="A16" s="22" t="s">
        <v>19</v>
      </c>
      <c r="B16" s="7" t="s">
        <v>20</v>
      </c>
      <c r="C16" s="7"/>
      <c r="D16" s="7"/>
      <c r="E16" s="7"/>
      <c r="F16" s="7"/>
    </row>
    <row r="17" spans="1:11">
      <c r="A17" s="22" t="s">
        <v>21</v>
      </c>
      <c r="B17" s="6" t="s">
        <v>22</v>
      </c>
      <c r="C17" s="6"/>
      <c r="D17" s="6"/>
      <c r="E17" s="6"/>
      <c r="F17" s="6"/>
    </row>
    <row r="18" spans="1:11">
      <c r="A18" s="23" t="s">
        <v>23</v>
      </c>
      <c r="B18" s="5" t="s">
        <v>24</v>
      </c>
      <c r="C18" s="5"/>
      <c r="D18" s="5"/>
      <c r="E18" s="5"/>
      <c r="F18" s="5"/>
    </row>
    <row r="19" spans="1:11">
      <c r="A19" s="23" t="s">
        <v>25</v>
      </c>
      <c r="B19" s="5"/>
      <c r="C19" s="5"/>
      <c r="D19" s="5"/>
      <c r="E19" s="5"/>
      <c r="F19" s="5"/>
    </row>
    <row r="20" spans="1:11">
      <c r="A20" s="23" t="s">
        <v>26</v>
      </c>
      <c r="B20" s="24" t="s">
        <v>27</v>
      </c>
      <c r="C20" s="25" t="s">
        <v>28</v>
      </c>
      <c r="D20" s="26" t="s">
        <v>29</v>
      </c>
      <c r="E20" s="4" t="s">
        <v>30</v>
      </c>
      <c r="F20" s="4"/>
    </row>
    <row r="21" spans="1:11" ht="26.25" customHeight="1">
      <c r="A21" s="23" t="s">
        <v>31</v>
      </c>
      <c r="B21" s="3"/>
      <c r="C21" s="3"/>
      <c r="D21" s="3"/>
      <c r="E21" s="3"/>
      <c r="F21" s="3"/>
    </row>
    <row r="22" spans="1:11">
      <c r="A22" s="23" t="s">
        <v>32</v>
      </c>
      <c r="B22" s="2" t="s">
        <v>33</v>
      </c>
      <c r="C22" s="2"/>
      <c r="D22" s="2"/>
      <c r="E22" s="2"/>
      <c r="F22" s="2"/>
      <c r="H22" s="27"/>
      <c r="I22" s="27"/>
      <c r="J22" s="27"/>
      <c r="K22" s="27"/>
    </row>
    <row r="23" spans="1:11">
      <c r="A23" s="23" t="s">
        <v>34</v>
      </c>
      <c r="B23" s="2"/>
      <c r="C23" s="2"/>
      <c r="D23" s="2"/>
      <c r="E23" s="2"/>
      <c r="F23" s="2"/>
      <c r="H23" s="27"/>
      <c r="I23" s="27"/>
      <c r="J23" s="27"/>
      <c r="K23" s="27"/>
    </row>
    <row r="24" spans="1:11">
      <c r="A24" s="23" t="s">
        <v>35</v>
      </c>
      <c r="B24" s="1"/>
      <c r="C24" s="1"/>
      <c r="D24" s="1"/>
      <c r="E24" s="1"/>
      <c r="F24" s="1"/>
      <c r="H24" s="27"/>
      <c r="I24" s="27"/>
      <c r="J24" s="27"/>
      <c r="K24" s="27"/>
    </row>
    <row r="25" spans="1:11" ht="25.5" customHeight="1">
      <c r="A25" s="28" t="s">
        <v>36</v>
      </c>
      <c r="B25" s="29" t="s">
        <v>37</v>
      </c>
      <c r="C25" s="29" t="s">
        <v>38</v>
      </c>
      <c r="D25" s="30" t="s">
        <v>39</v>
      </c>
      <c r="E25" s="59" t="s">
        <v>40</v>
      </c>
      <c r="F25" s="59"/>
      <c r="H25" s="28" t="s">
        <v>41</v>
      </c>
      <c r="I25" s="27"/>
      <c r="J25" s="27"/>
      <c r="K25" s="27"/>
    </row>
    <row r="26" spans="1:11">
      <c r="A26" s="31" t="s">
        <v>42</v>
      </c>
      <c r="B26" s="32" t="s">
        <v>43</v>
      </c>
      <c r="C26" s="24">
        <v>120</v>
      </c>
      <c r="D26" s="24"/>
      <c r="E26" s="60"/>
      <c r="F26" s="60"/>
      <c r="H26" s="33" t="str">
        <f>(LEFT(B26,2)*1.5)&amp;CONCATENATE(" GB")</f>
        <v>12 GB</v>
      </c>
      <c r="I26" s="27"/>
      <c r="J26" s="27"/>
      <c r="K26" s="27"/>
    </row>
    <row r="27" spans="1:11">
      <c r="A27" s="27"/>
      <c r="B27" s="34" t="str">
        <f>LEFT(B26,2)</f>
        <v xml:space="preserve">8 </v>
      </c>
      <c r="C27" s="27"/>
      <c r="D27" s="27"/>
      <c r="E27" s="27"/>
      <c r="F27" s="27"/>
      <c r="H27" s="27"/>
      <c r="I27" s="27"/>
      <c r="J27" s="27"/>
      <c r="K27" s="27"/>
    </row>
    <row r="28" spans="1:11">
      <c r="A28" s="61"/>
      <c r="B28" s="35">
        <f>_xlfn.NUMBERVALUE(B27)</f>
        <v>8</v>
      </c>
      <c r="C28" s="23" t="s">
        <v>44</v>
      </c>
      <c r="D28" s="32"/>
      <c r="E28" s="60"/>
      <c r="F28" s="60"/>
      <c r="H28" s="36">
        <f>C26-(D26+E26)</f>
        <v>120</v>
      </c>
      <c r="I28" s="36" t="s">
        <v>45</v>
      </c>
      <c r="J28" s="27"/>
      <c r="K28" s="27"/>
    </row>
    <row r="29" spans="1:11">
      <c r="A29" s="61"/>
      <c r="B29" s="27"/>
      <c r="C29" s="23" t="s">
        <v>46</v>
      </c>
      <c r="D29" s="32"/>
      <c r="E29" s="60"/>
      <c r="F29" s="60"/>
      <c r="H29" s="36">
        <f>H28-E28</f>
        <v>120</v>
      </c>
      <c r="I29" s="36" t="s">
        <v>45</v>
      </c>
      <c r="J29" s="27"/>
      <c r="K29" s="27"/>
    </row>
    <row r="30" spans="1:11">
      <c r="A30" s="61"/>
      <c r="B30" s="27"/>
      <c r="C30" s="23" t="s">
        <v>47</v>
      </c>
      <c r="D30" s="32"/>
      <c r="E30" s="60"/>
      <c r="F30" s="60"/>
      <c r="H30" s="37">
        <f>(H29-E29)-E30</f>
        <v>120</v>
      </c>
      <c r="I30" s="36" t="s">
        <v>45</v>
      </c>
      <c r="J30" s="27"/>
      <c r="K30" s="27"/>
    </row>
    <row r="31" spans="1:11">
      <c r="A31" s="27"/>
      <c r="B31" s="27"/>
      <c r="C31" s="38"/>
      <c r="D31" s="39"/>
      <c r="E31" s="40"/>
      <c r="F31" s="40"/>
      <c r="H31" s="41"/>
      <c r="I31" s="27"/>
      <c r="J31" s="27"/>
      <c r="K31" s="27"/>
    </row>
    <row r="32" spans="1:11" ht="38.25" customHeight="1">
      <c r="A32" s="27"/>
      <c r="B32" s="27"/>
      <c r="C32" s="62" t="s">
        <v>48</v>
      </c>
      <c r="D32" s="42" t="s">
        <v>49</v>
      </c>
      <c r="E32" s="42" t="s">
        <v>50</v>
      </c>
      <c r="F32" s="42" t="s">
        <v>51</v>
      </c>
      <c r="H32" s="63" t="s">
        <v>52</v>
      </c>
      <c r="I32" s="63" t="s">
        <v>53</v>
      </c>
      <c r="J32" s="27"/>
      <c r="K32" s="27"/>
    </row>
    <row r="33" spans="1:11" ht="24.75" customHeight="1">
      <c r="A33" s="27"/>
      <c r="B33" s="27"/>
      <c r="C33" s="62"/>
      <c r="D33" s="43"/>
      <c r="E33" s="26">
        <v>50</v>
      </c>
      <c r="F33" s="26"/>
      <c r="H33" s="63"/>
      <c r="I33" s="63"/>
      <c r="J33" s="27"/>
      <c r="K33" s="27"/>
    </row>
    <row r="34" spans="1:11" ht="37.5" customHeight="1">
      <c r="A34" s="27"/>
      <c r="B34" s="27"/>
      <c r="C34" s="62"/>
      <c r="D34" s="42" t="s">
        <v>54</v>
      </c>
      <c r="E34" s="44"/>
      <c r="F34" s="42"/>
      <c r="H34" s="42">
        <f>IF(B28&gt;=8,B28*1.5,B28)</f>
        <v>12</v>
      </c>
      <c r="I34" s="45" t="e">
        <f>(C26-(D33+E33+F33+D35+D36))</f>
        <v>#VALUE!</v>
      </c>
      <c r="J34" s="27"/>
      <c r="K34" s="27"/>
    </row>
    <row r="35" spans="1:11" ht="37.5" customHeight="1">
      <c r="A35" s="27"/>
      <c r="B35" s="27"/>
      <c r="C35" s="62"/>
      <c r="D35" s="46"/>
      <c r="E35" s="47"/>
      <c r="F35" s="48"/>
      <c r="H35" s="39"/>
      <c r="I35" s="27"/>
      <c r="J35" s="27"/>
      <c r="K35" s="27"/>
    </row>
    <row r="36" spans="1:11">
      <c r="A36" s="27"/>
      <c r="B36" s="27"/>
      <c r="C36" s="42" t="s">
        <v>55</v>
      </c>
      <c r="D36" s="60" t="s">
        <v>56</v>
      </c>
      <c r="E36" s="60"/>
      <c r="F36" s="60"/>
      <c r="H36" s="41"/>
      <c r="I36" s="27"/>
    </row>
    <row r="37" spans="1:11">
      <c r="A37" s="27"/>
      <c r="B37" s="27"/>
      <c r="C37" s="27"/>
      <c r="D37" s="27"/>
      <c r="E37" s="27"/>
      <c r="F37" s="27"/>
    </row>
    <row r="38" spans="1:11" ht="19.5" customHeight="1">
      <c r="A38" s="49" t="s">
        <v>57</v>
      </c>
      <c r="B38" s="50" t="s">
        <v>58</v>
      </c>
      <c r="C38" s="50" t="s">
        <v>59</v>
      </c>
      <c r="D38" s="50" t="s">
        <v>60</v>
      </c>
      <c r="E38" s="64" t="s">
        <v>61</v>
      </c>
      <c r="F38" s="64"/>
    </row>
    <row r="39" spans="1:11">
      <c r="A39" s="32" t="s">
        <v>62</v>
      </c>
      <c r="B39" s="51" t="s">
        <v>63</v>
      </c>
      <c r="C39" s="51" t="s">
        <v>64</v>
      </c>
      <c r="D39" s="51" t="s">
        <v>65</v>
      </c>
      <c r="E39" s="51" t="s">
        <v>66</v>
      </c>
      <c r="F39" s="51" t="s">
        <v>67</v>
      </c>
    </row>
    <row r="40" spans="1:11">
      <c r="A40" s="32" t="s">
        <v>68</v>
      </c>
      <c r="B40" s="51"/>
      <c r="C40" s="51"/>
      <c r="D40" s="51"/>
      <c r="E40" s="51"/>
      <c r="F40" s="51"/>
    </row>
    <row r="41" spans="1:11">
      <c r="A41" s="32" t="s">
        <v>69</v>
      </c>
      <c r="B41" s="51"/>
      <c r="C41" s="51"/>
      <c r="D41" s="51"/>
      <c r="E41" s="51"/>
      <c r="F41" s="51"/>
    </row>
    <row r="42" spans="1:11">
      <c r="A42" s="39"/>
      <c r="B42" s="27"/>
      <c r="C42" s="27"/>
      <c r="D42" s="27"/>
      <c r="E42" s="27"/>
      <c r="F42" s="27"/>
    </row>
    <row r="43" spans="1:11" ht="42.75" customHeight="1">
      <c r="A43" s="52" t="s">
        <v>70</v>
      </c>
      <c r="B43" s="65" t="s">
        <v>71</v>
      </c>
      <c r="C43" s="65"/>
      <c r="D43" s="65"/>
      <c r="E43" s="65"/>
      <c r="F43" s="65"/>
    </row>
    <row r="44" spans="1:11" ht="25.5" customHeight="1">
      <c r="A44" s="52" t="s">
        <v>72</v>
      </c>
      <c r="B44" s="66" t="s">
        <v>73</v>
      </c>
      <c r="C44" s="66"/>
      <c r="D44" s="66"/>
      <c r="E44" s="66"/>
      <c r="F44" s="66"/>
    </row>
    <row r="45" spans="1:11">
      <c r="A45" s="27"/>
      <c r="B45" s="27"/>
      <c r="C45" s="27"/>
      <c r="D45" s="27"/>
      <c r="E45" s="27"/>
      <c r="F45" s="27"/>
    </row>
    <row r="46" spans="1:11">
      <c r="A46" s="67" t="s">
        <v>74</v>
      </c>
      <c r="B46" s="67"/>
      <c r="C46" s="53"/>
      <c r="D46" s="68" t="s">
        <v>75</v>
      </c>
      <c r="E46" s="68"/>
      <c r="F46" s="68"/>
    </row>
    <row r="47" spans="1:11" ht="15" customHeight="1">
      <c r="A47" s="54" t="s">
        <v>76</v>
      </c>
      <c r="B47" s="55" t="s">
        <v>77</v>
      </c>
      <c r="C47" s="27"/>
      <c r="D47" s="69" t="s">
        <v>78</v>
      </c>
      <c r="E47" s="69"/>
      <c r="F47" s="69"/>
    </row>
    <row r="48" spans="1:11">
      <c r="A48" s="54" t="s">
        <v>79</v>
      </c>
      <c r="B48" s="55" t="s">
        <v>77</v>
      </c>
      <c r="C48" s="27"/>
      <c r="D48" s="69"/>
      <c r="E48" s="69"/>
      <c r="F48" s="69"/>
    </row>
    <row r="49" spans="1:6">
      <c r="A49" s="54" t="s">
        <v>80</v>
      </c>
      <c r="B49" s="55" t="s">
        <v>77</v>
      </c>
      <c r="C49" s="27"/>
      <c r="D49" s="69"/>
      <c r="E49" s="69"/>
      <c r="F49" s="69"/>
    </row>
    <row r="50" spans="1:6">
      <c r="A50" s="54" t="s">
        <v>81</v>
      </c>
      <c r="B50" s="55" t="s">
        <v>77</v>
      </c>
      <c r="C50" s="27"/>
      <c r="D50" s="69"/>
      <c r="E50" s="69"/>
      <c r="F50" s="69"/>
    </row>
    <row r="51" spans="1:6">
      <c r="A51" s="54" t="s">
        <v>82</v>
      </c>
      <c r="B51" s="55" t="s">
        <v>83</v>
      </c>
      <c r="C51" s="27"/>
      <c r="D51" s="69"/>
      <c r="E51" s="69"/>
      <c r="F51" s="69"/>
    </row>
    <row r="52" spans="1:6">
      <c r="A52" s="54" t="s">
        <v>84</v>
      </c>
      <c r="B52" s="55" t="s">
        <v>83</v>
      </c>
      <c r="C52" s="27"/>
      <c r="D52" s="69"/>
      <c r="E52" s="69"/>
      <c r="F52" s="69"/>
    </row>
    <row r="53" spans="1:6">
      <c r="A53" s="54" t="s">
        <v>85</v>
      </c>
      <c r="B53" s="55" t="s">
        <v>83</v>
      </c>
      <c r="C53" s="27"/>
      <c r="D53" s="69"/>
      <c r="E53" s="69"/>
      <c r="F53" s="69"/>
    </row>
    <row r="54" spans="1:6">
      <c r="A54" s="27"/>
      <c r="B54" s="27"/>
      <c r="C54" s="27"/>
      <c r="D54" s="27"/>
      <c r="E54" s="27"/>
      <c r="F54" s="27"/>
    </row>
  </sheetData>
  <mergeCells count="39">
    <mergeCell ref="B43:F43"/>
    <mergeCell ref="B44:F44"/>
    <mergeCell ref="A46:B46"/>
    <mergeCell ref="D46:F46"/>
    <mergeCell ref="D47:F53"/>
    <mergeCell ref="C32:C35"/>
    <mergeCell ref="H32:H33"/>
    <mergeCell ref="I32:I33"/>
    <mergeCell ref="D36:F36"/>
    <mergeCell ref="E38:F38"/>
    <mergeCell ref="B23:F23"/>
    <mergeCell ref="B24:F24"/>
    <mergeCell ref="E25:F25"/>
    <mergeCell ref="E26:F26"/>
    <mergeCell ref="A28:A30"/>
    <mergeCell ref="E28:F28"/>
    <mergeCell ref="E29:F29"/>
    <mergeCell ref="E30:F30"/>
    <mergeCell ref="B18:F18"/>
    <mergeCell ref="B19:F19"/>
    <mergeCell ref="E20:F20"/>
    <mergeCell ref="B21:F21"/>
    <mergeCell ref="B22:F22"/>
    <mergeCell ref="B12:F12"/>
    <mergeCell ref="B13:F13"/>
    <mergeCell ref="A15:F15"/>
    <mergeCell ref="B16:F16"/>
    <mergeCell ref="B17:F17"/>
    <mergeCell ref="B7:F7"/>
    <mergeCell ref="B8:F8"/>
    <mergeCell ref="B9:F9"/>
    <mergeCell ref="B10:F10"/>
    <mergeCell ref="B11:F11"/>
    <mergeCell ref="A1:F1"/>
    <mergeCell ref="A3:F3"/>
    <mergeCell ref="B4:F4"/>
    <mergeCell ref="B5:F5"/>
    <mergeCell ref="B6:C6"/>
    <mergeCell ref="E6:F6"/>
  </mergeCells>
  <conditionalFormatting sqref="I34">
    <cfRule type="cellIs" dxfId="0" priority="2" operator="between">
      <formula>-50000</formula>
      <formula>-1</formula>
    </cfRule>
  </conditionalFormatting>
  <dataValidations count="3">
    <dataValidation type="list" allowBlank="1" showInputMessage="1" showErrorMessage="1" sqref="C20">
      <formula1>INDIRECT($B20)</formula1>
      <formula2>0</formula2>
    </dataValidation>
    <dataValidation type="whole" allowBlank="1" showInputMessage="1" showErrorMessage="1" promptTitle="Tamaño (GB)" prompt="Tamaño (GB)" sqref="C26:E26 E28:E31">
      <formula1>0</formula1>
      <formula2>4096</formula2>
    </dataValidation>
    <dataValidation type="list" allowBlank="1" showInputMessage="1" showErrorMessage="1" sqref="D31">
      <formula1>#REF!</formula1>
      <formula2>0</formula2>
    </dataValidation>
  </dataValidations>
  <pageMargins left="0.7" right="0.7" top="0.75" bottom="0.75" header="0.511811023622047" footer="0.511811023622047"/>
  <pageSetup orientation="portrait" useFirstPageNumber="1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97"/>
  <sheetViews>
    <sheetView showGridLines="0" zoomScaleNormal="100" workbookViewId="0">
      <selection activeCell="H3" sqref="H3"/>
    </sheetView>
  </sheetViews>
  <sheetFormatPr baseColWidth="10" defaultColWidth="11.42578125" defaultRowHeight="15"/>
  <cols>
    <col min="2" max="2" width="15.28515625" customWidth="1"/>
    <col min="4" max="4" width="6.28515625" customWidth="1"/>
    <col min="5" max="5" width="7.28515625" customWidth="1"/>
    <col min="7" max="7" width="8.28515625" customWidth="1"/>
    <col min="8" max="8" width="34" customWidth="1"/>
    <col min="9" max="9" width="29.140625" customWidth="1"/>
    <col min="10" max="10" width="20.28515625" customWidth="1"/>
    <col min="13" max="13" width="7.7109375" customWidth="1"/>
    <col min="14" max="14" width="12.28515625" customWidth="1"/>
    <col min="16" max="16" width="8.5703125" customWidth="1"/>
    <col min="18" max="18" width="14.7109375" customWidth="1"/>
    <col min="20" max="20" width="9.85546875" customWidth="1"/>
    <col min="21" max="21" width="31.7109375" customWidth="1"/>
    <col min="23" max="23" width="24" customWidth="1"/>
    <col min="25" max="25" width="12.28515625" customWidth="1"/>
    <col min="27" max="27" width="9.7109375" customWidth="1"/>
    <col min="29" max="29" width="18.5703125" customWidth="1"/>
  </cols>
  <sheetData>
    <row r="1" spans="2:29">
      <c r="B1" t="s">
        <v>19</v>
      </c>
      <c r="D1" t="s">
        <v>86</v>
      </c>
      <c r="E1" t="s">
        <v>87</v>
      </c>
      <c r="G1" t="s">
        <v>88</v>
      </c>
      <c r="H1" t="s">
        <v>27</v>
      </c>
      <c r="I1" t="s">
        <v>89</v>
      </c>
      <c r="J1" t="s">
        <v>90</v>
      </c>
      <c r="M1" t="s">
        <v>36</v>
      </c>
      <c r="N1" t="s">
        <v>91</v>
      </c>
      <c r="P1" t="s">
        <v>92</v>
      </c>
      <c r="R1" t="s">
        <v>93</v>
      </c>
      <c r="T1" t="s">
        <v>94</v>
      </c>
      <c r="U1" t="s">
        <v>10</v>
      </c>
      <c r="W1" t="s">
        <v>95</v>
      </c>
      <c r="Y1" t="s">
        <v>96</v>
      </c>
      <c r="AA1" t="s">
        <v>97</v>
      </c>
      <c r="AC1" t="s">
        <v>98</v>
      </c>
    </row>
    <row r="2" spans="2:29">
      <c r="B2" t="s">
        <v>99</v>
      </c>
      <c r="D2" t="s">
        <v>100</v>
      </c>
      <c r="E2" t="s">
        <v>101</v>
      </c>
      <c r="G2" t="s">
        <v>102</v>
      </c>
      <c r="H2" t="s">
        <v>103</v>
      </c>
      <c r="I2" t="s">
        <v>104</v>
      </c>
      <c r="J2" t="s">
        <v>105</v>
      </c>
      <c r="M2" t="s">
        <v>106</v>
      </c>
      <c r="N2" t="s">
        <v>107</v>
      </c>
      <c r="P2" t="s">
        <v>108</v>
      </c>
      <c r="R2" t="s">
        <v>109</v>
      </c>
      <c r="T2" t="s">
        <v>77</v>
      </c>
      <c r="U2" t="s">
        <v>110</v>
      </c>
      <c r="W2" t="s">
        <v>111</v>
      </c>
      <c r="Y2" t="s">
        <v>112</v>
      </c>
      <c r="AA2" t="s">
        <v>113</v>
      </c>
      <c r="AC2" t="s">
        <v>114</v>
      </c>
    </row>
    <row r="3" spans="2:29">
      <c r="B3" t="s">
        <v>115</v>
      </c>
      <c r="D3" t="s">
        <v>29</v>
      </c>
      <c r="E3" t="s">
        <v>30</v>
      </c>
      <c r="H3" t="s">
        <v>116</v>
      </c>
      <c r="I3" t="s">
        <v>117</v>
      </c>
      <c r="M3" t="s">
        <v>118</v>
      </c>
      <c r="N3" t="s">
        <v>119</v>
      </c>
      <c r="P3" t="s">
        <v>120</v>
      </c>
      <c r="R3" t="s">
        <v>121</v>
      </c>
      <c r="T3" t="s">
        <v>122</v>
      </c>
      <c r="U3" t="s">
        <v>123</v>
      </c>
      <c r="W3" t="s">
        <v>71</v>
      </c>
      <c r="Y3" t="s">
        <v>124</v>
      </c>
      <c r="AA3" t="s">
        <v>125</v>
      </c>
      <c r="AC3" t="s">
        <v>126</v>
      </c>
    </row>
    <row r="4" spans="2:29">
      <c r="B4" t="s">
        <v>127</v>
      </c>
      <c r="H4" t="s">
        <v>128</v>
      </c>
      <c r="I4" t="s">
        <v>129</v>
      </c>
      <c r="M4" t="s">
        <v>130</v>
      </c>
      <c r="N4" t="s">
        <v>131</v>
      </c>
      <c r="P4" t="s">
        <v>132</v>
      </c>
      <c r="R4" t="s">
        <v>133</v>
      </c>
      <c r="T4" t="s">
        <v>83</v>
      </c>
      <c r="U4" t="s">
        <v>134</v>
      </c>
      <c r="Y4" t="s">
        <v>61</v>
      </c>
      <c r="AC4" t="s">
        <v>135</v>
      </c>
    </row>
    <row r="5" spans="2:29">
      <c r="B5" t="s">
        <v>20</v>
      </c>
      <c r="H5" t="s">
        <v>136</v>
      </c>
      <c r="I5" t="s">
        <v>137</v>
      </c>
      <c r="M5" t="s">
        <v>42</v>
      </c>
      <c r="N5" t="s">
        <v>138</v>
      </c>
      <c r="P5" t="s">
        <v>139</v>
      </c>
      <c r="R5" t="s">
        <v>140</v>
      </c>
      <c r="Y5" t="s">
        <v>141</v>
      </c>
      <c r="AC5" t="s">
        <v>142</v>
      </c>
    </row>
    <row r="6" spans="2:29">
      <c r="B6" t="s">
        <v>143</v>
      </c>
      <c r="H6" t="s">
        <v>144</v>
      </c>
      <c r="M6" t="s">
        <v>145</v>
      </c>
      <c r="N6" t="s">
        <v>146</v>
      </c>
      <c r="P6" t="s">
        <v>147</v>
      </c>
      <c r="R6" t="s">
        <v>148</v>
      </c>
      <c r="Y6" t="s">
        <v>149</v>
      </c>
      <c r="AC6" t="s">
        <v>150</v>
      </c>
    </row>
    <row r="7" spans="2:29">
      <c r="B7" t="s">
        <v>151</v>
      </c>
      <c r="H7" t="s">
        <v>152</v>
      </c>
      <c r="M7" t="s">
        <v>153</v>
      </c>
      <c r="N7" t="s">
        <v>154</v>
      </c>
      <c r="P7" t="s">
        <v>155</v>
      </c>
      <c r="R7" t="s">
        <v>156</v>
      </c>
      <c r="Y7" t="s">
        <v>157</v>
      </c>
    </row>
    <row r="8" spans="2:29">
      <c r="B8" t="s">
        <v>158</v>
      </c>
      <c r="H8" t="s">
        <v>159</v>
      </c>
      <c r="M8" t="s">
        <v>160</v>
      </c>
      <c r="N8" t="s">
        <v>161</v>
      </c>
      <c r="P8" t="s">
        <v>162</v>
      </c>
      <c r="R8" t="s">
        <v>163</v>
      </c>
    </row>
    <row r="9" spans="2:29">
      <c r="B9" t="s">
        <v>164</v>
      </c>
      <c r="H9" t="s">
        <v>165</v>
      </c>
      <c r="M9" t="s">
        <v>166</v>
      </c>
      <c r="N9" t="s">
        <v>167</v>
      </c>
      <c r="P9" t="s">
        <v>168</v>
      </c>
      <c r="R9" t="s">
        <v>169</v>
      </c>
    </row>
    <row r="10" spans="2:29">
      <c r="B10" t="s">
        <v>170</v>
      </c>
      <c r="H10" t="s">
        <v>171</v>
      </c>
      <c r="M10" t="s">
        <v>172</v>
      </c>
      <c r="N10" t="s">
        <v>173</v>
      </c>
      <c r="P10" t="s">
        <v>174</v>
      </c>
      <c r="R10" t="s">
        <v>175</v>
      </c>
    </row>
    <row r="11" spans="2:29">
      <c r="B11" t="s">
        <v>176</v>
      </c>
      <c r="H11" t="s">
        <v>177</v>
      </c>
      <c r="M11" t="s">
        <v>178</v>
      </c>
      <c r="N11" t="s">
        <v>179</v>
      </c>
      <c r="P11" t="s">
        <v>180</v>
      </c>
      <c r="R11" t="s">
        <v>181</v>
      </c>
    </row>
    <row r="12" spans="2:29">
      <c r="H12" t="s">
        <v>182</v>
      </c>
      <c r="M12" t="s">
        <v>183</v>
      </c>
      <c r="N12" t="s">
        <v>184</v>
      </c>
      <c r="P12" t="s">
        <v>185</v>
      </c>
      <c r="R12" t="s">
        <v>186</v>
      </c>
    </row>
    <row r="13" spans="2:29">
      <c r="H13" t="s">
        <v>187</v>
      </c>
      <c r="M13" t="s">
        <v>188</v>
      </c>
      <c r="N13" t="s">
        <v>189</v>
      </c>
      <c r="P13" t="s">
        <v>190</v>
      </c>
      <c r="R13" t="s">
        <v>191</v>
      </c>
    </row>
    <row r="14" spans="2:29">
      <c r="H14" t="s">
        <v>192</v>
      </c>
      <c r="M14" t="s">
        <v>193</v>
      </c>
      <c r="N14" t="s">
        <v>194</v>
      </c>
      <c r="P14" t="s">
        <v>195</v>
      </c>
      <c r="R14" t="s">
        <v>196</v>
      </c>
    </row>
    <row r="15" spans="2:29">
      <c r="H15" t="s">
        <v>197</v>
      </c>
      <c r="M15" t="s">
        <v>198</v>
      </c>
      <c r="N15" t="s">
        <v>199</v>
      </c>
      <c r="P15" t="s">
        <v>200</v>
      </c>
      <c r="R15" t="s">
        <v>201</v>
      </c>
    </row>
    <row r="16" spans="2:29">
      <c r="H16" s="56"/>
      <c r="M16" s="57" t="s">
        <v>202</v>
      </c>
      <c r="P16" s="57" t="s">
        <v>203</v>
      </c>
      <c r="R16" s="57" t="s">
        <v>204</v>
      </c>
    </row>
    <row r="17" spans="13:18">
      <c r="M17" t="s">
        <v>205</v>
      </c>
      <c r="P17" t="s">
        <v>206</v>
      </c>
      <c r="R17" t="s">
        <v>207</v>
      </c>
    </row>
    <row r="18" spans="13:18">
      <c r="M18" t="s">
        <v>208</v>
      </c>
      <c r="P18" t="s">
        <v>209</v>
      </c>
      <c r="R18" t="s">
        <v>210</v>
      </c>
    </row>
    <row r="19" spans="13:18">
      <c r="M19" t="s">
        <v>211</v>
      </c>
      <c r="P19" t="s">
        <v>212</v>
      </c>
      <c r="R19" t="s">
        <v>213</v>
      </c>
    </row>
    <row r="20" spans="13:18">
      <c r="M20" t="s">
        <v>214</v>
      </c>
      <c r="P20" t="s">
        <v>215</v>
      </c>
      <c r="R20" t="s">
        <v>216</v>
      </c>
    </row>
    <row r="21" spans="13:18">
      <c r="M21" t="s">
        <v>217</v>
      </c>
      <c r="P21" t="s">
        <v>218</v>
      </c>
      <c r="R21" t="s">
        <v>219</v>
      </c>
    </row>
    <row r="22" spans="13:18">
      <c r="M22" t="s">
        <v>220</v>
      </c>
      <c r="P22" t="s">
        <v>221</v>
      </c>
      <c r="R22" t="s">
        <v>222</v>
      </c>
    </row>
    <row r="23" spans="13:18">
      <c r="M23" t="s">
        <v>223</v>
      </c>
      <c r="P23" t="s">
        <v>224</v>
      </c>
      <c r="R23" t="s">
        <v>225</v>
      </c>
    </row>
    <row r="24" spans="13:18">
      <c r="M24" t="s">
        <v>226</v>
      </c>
      <c r="P24" t="s">
        <v>227</v>
      </c>
      <c r="R24" t="s">
        <v>228</v>
      </c>
    </row>
    <row r="25" spans="13:18">
      <c r="M25" t="s">
        <v>229</v>
      </c>
      <c r="R25" t="s">
        <v>230</v>
      </c>
    </row>
    <row r="26" spans="13:18">
      <c r="M26" t="s">
        <v>231</v>
      </c>
      <c r="R26" t="s">
        <v>232</v>
      </c>
    </row>
    <row r="27" spans="13:18">
      <c r="M27" t="s">
        <v>233</v>
      </c>
      <c r="R27" t="s">
        <v>234</v>
      </c>
    </row>
    <row r="28" spans="13:18">
      <c r="M28" t="s">
        <v>235</v>
      </c>
      <c r="R28" t="s">
        <v>236</v>
      </c>
    </row>
    <row r="29" spans="13:18">
      <c r="M29" t="s">
        <v>237</v>
      </c>
      <c r="R29" t="s">
        <v>238</v>
      </c>
    </row>
    <row r="30" spans="13:18">
      <c r="M30" t="s">
        <v>239</v>
      </c>
    </row>
    <row r="31" spans="13:18">
      <c r="M31" t="s">
        <v>240</v>
      </c>
    </row>
    <row r="32" spans="13:18">
      <c r="M32" t="s">
        <v>241</v>
      </c>
    </row>
    <row r="33" spans="13:13">
      <c r="M33" t="s">
        <v>242</v>
      </c>
    </row>
    <row r="34" spans="13:13">
      <c r="M34" t="s">
        <v>243</v>
      </c>
    </row>
    <row r="35" spans="13:13">
      <c r="M35" t="s">
        <v>244</v>
      </c>
    </row>
    <row r="36" spans="13:13">
      <c r="M36" t="s">
        <v>245</v>
      </c>
    </row>
    <row r="37" spans="13:13">
      <c r="M37" t="s">
        <v>246</v>
      </c>
    </row>
    <row r="38" spans="13:13">
      <c r="M38" t="s">
        <v>247</v>
      </c>
    </row>
    <row r="39" spans="13:13">
      <c r="M39" t="s">
        <v>248</v>
      </c>
    </row>
    <row r="40" spans="13:13">
      <c r="M40" t="s">
        <v>249</v>
      </c>
    </row>
    <row r="41" spans="13:13">
      <c r="M41" t="s">
        <v>250</v>
      </c>
    </row>
    <row r="42" spans="13:13">
      <c r="M42" t="s">
        <v>251</v>
      </c>
    </row>
    <row r="43" spans="13:13">
      <c r="M43" t="s">
        <v>252</v>
      </c>
    </row>
    <row r="44" spans="13:13">
      <c r="M44" t="s">
        <v>253</v>
      </c>
    </row>
    <row r="45" spans="13:13">
      <c r="M45" t="s">
        <v>254</v>
      </c>
    </row>
    <row r="46" spans="13:13">
      <c r="M46" t="s">
        <v>255</v>
      </c>
    </row>
    <row r="47" spans="13:13">
      <c r="M47" t="s">
        <v>256</v>
      </c>
    </row>
    <row r="48" spans="13:13">
      <c r="M48" t="s">
        <v>257</v>
      </c>
    </row>
    <row r="49" spans="13:13">
      <c r="M49" t="s">
        <v>258</v>
      </c>
    </row>
    <row r="50" spans="13:13">
      <c r="M50" t="s">
        <v>259</v>
      </c>
    </row>
    <row r="51" spans="13:13">
      <c r="M51" t="s">
        <v>260</v>
      </c>
    </row>
    <row r="52" spans="13:13">
      <c r="M52" t="s">
        <v>261</v>
      </c>
    </row>
    <row r="53" spans="13:13">
      <c r="M53" t="s">
        <v>262</v>
      </c>
    </row>
    <row r="54" spans="13:13">
      <c r="M54" t="s">
        <v>263</v>
      </c>
    </row>
    <row r="55" spans="13:13">
      <c r="M55" t="s">
        <v>264</v>
      </c>
    </row>
    <row r="56" spans="13:13">
      <c r="M56" t="s">
        <v>265</v>
      </c>
    </row>
    <row r="57" spans="13:13">
      <c r="M57" t="s">
        <v>266</v>
      </c>
    </row>
    <row r="58" spans="13:13">
      <c r="M58" t="s">
        <v>267</v>
      </c>
    </row>
    <row r="59" spans="13:13">
      <c r="M59" t="s">
        <v>268</v>
      </c>
    </row>
    <row r="60" spans="13:13">
      <c r="M60" t="s">
        <v>269</v>
      </c>
    </row>
    <row r="61" spans="13:13">
      <c r="M61" t="s">
        <v>270</v>
      </c>
    </row>
    <row r="62" spans="13:13">
      <c r="M62" t="s">
        <v>271</v>
      </c>
    </row>
    <row r="63" spans="13:13">
      <c r="M63" t="s">
        <v>272</v>
      </c>
    </row>
    <row r="64" spans="13:13">
      <c r="M64" t="s">
        <v>273</v>
      </c>
    </row>
    <row r="65" spans="13:13">
      <c r="M65" t="s">
        <v>274</v>
      </c>
    </row>
    <row r="66" spans="13:13">
      <c r="M66" t="s">
        <v>275</v>
      </c>
    </row>
    <row r="67" spans="13:13">
      <c r="M67" t="s">
        <v>276</v>
      </c>
    </row>
    <row r="68" spans="13:13">
      <c r="M68" t="s">
        <v>277</v>
      </c>
    </row>
    <row r="69" spans="13:13">
      <c r="M69" t="s">
        <v>278</v>
      </c>
    </row>
    <row r="70" spans="13:13">
      <c r="M70" t="s">
        <v>279</v>
      </c>
    </row>
    <row r="71" spans="13:13">
      <c r="M71" t="s">
        <v>280</v>
      </c>
    </row>
    <row r="72" spans="13:13">
      <c r="M72" t="s">
        <v>281</v>
      </c>
    </row>
    <row r="73" spans="13:13">
      <c r="M73" t="s">
        <v>282</v>
      </c>
    </row>
    <row r="74" spans="13:13">
      <c r="M74" t="s">
        <v>283</v>
      </c>
    </row>
    <row r="75" spans="13:13">
      <c r="M75" t="s">
        <v>284</v>
      </c>
    </row>
    <row r="76" spans="13:13">
      <c r="M76" t="s">
        <v>285</v>
      </c>
    </row>
    <row r="77" spans="13:13">
      <c r="M77" t="s">
        <v>286</v>
      </c>
    </row>
    <row r="78" spans="13:13">
      <c r="M78" t="s">
        <v>287</v>
      </c>
    </row>
    <row r="79" spans="13:13">
      <c r="M79" t="s">
        <v>288</v>
      </c>
    </row>
    <row r="80" spans="13:13">
      <c r="M80" t="s">
        <v>289</v>
      </c>
    </row>
    <row r="81" spans="13:13">
      <c r="M81" t="s">
        <v>290</v>
      </c>
    </row>
    <row r="82" spans="13:13">
      <c r="M82" t="s">
        <v>291</v>
      </c>
    </row>
    <row r="83" spans="13:13">
      <c r="M83" t="s">
        <v>292</v>
      </c>
    </row>
    <row r="84" spans="13:13">
      <c r="M84" t="s">
        <v>293</v>
      </c>
    </row>
    <row r="85" spans="13:13">
      <c r="M85" t="s">
        <v>294</v>
      </c>
    </row>
    <row r="86" spans="13:13">
      <c r="M86" t="s">
        <v>295</v>
      </c>
    </row>
    <row r="87" spans="13:13">
      <c r="M87" t="s">
        <v>296</v>
      </c>
    </row>
    <row r="88" spans="13:13">
      <c r="M88" t="s">
        <v>297</v>
      </c>
    </row>
    <row r="89" spans="13:13">
      <c r="M89" t="s">
        <v>298</v>
      </c>
    </row>
    <row r="90" spans="13:13">
      <c r="M90" t="s">
        <v>299</v>
      </c>
    </row>
    <row r="91" spans="13:13">
      <c r="M91" t="s">
        <v>300</v>
      </c>
    </row>
    <row r="92" spans="13:13">
      <c r="M92" t="s">
        <v>301</v>
      </c>
    </row>
    <row r="93" spans="13:13">
      <c r="M93" t="s">
        <v>302</v>
      </c>
    </row>
    <row r="94" spans="13:13">
      <c r="M94" t="s">
        <v>303</v>
      </c>
    </row>
    <row r="95" spans="13:13">
      <c r="M95" t="s">
        <v>304</v>
      </c>
    </row>
    <row r="96" spans="13:13">
      <c r="M96" t="s">
        <v>305</v>
      </c>
    </row>
    <row r="97" spans="13:13">
      <c r="M97" t="s">
        <v>306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C20"/>
  <sheetViews>
    <sheetView showGridLines="0" zoomScale="80" zoomScaleNormal="80" workbookViewId="0">
      <selection activeCell="I30" sqref="I30"/>
    </sheetView>
  </sheetViews>
  <sheetFormatPr baseColWidth="10" defaultColWidth="11.42578125" defaultRowHeight="15"/>
  <cols>
    <col min="3" max="3" width="50" customWidth="1"/>
  </cols>
  <sheetData>
    <row r="2" spans="3:3">
      <c r="C2" s="58" t="s">
        <v>307</v>
      </c>
    </row>
    <row r="20" spans="3:3">
      <c r="C20" s="58" t="s">
        <v>308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Equipo-1</vt:lpstr>
      <vt:lpstr>Datos2</vt:lpstr>
      <vt:lpstr>FAQ</vt:lpstr>
      <vt:lpstr>LINUX</vt:lpstr>
      <vt:lpstr>SO_LINUX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Hugo Carcamo</dc:creator>
  <dc:description/>
  <cp:lastModifiedBy>Felipe Esteban Martinez Quiñones</cp:lastModifiedBy>
  <cp:revision>0</cp:revision>
  <dcterms:created xsi:type="dcterms:W3CDTF">2021-09-30T14:30:13Z</dcterms:created>
  <dcterms:modified xsi:type="dcterms:W3CDTF">2026-09-15T17:08:34Z</dcterms:modified>
  <dc:language>en-US</dc:language>
</cp:coreProperties>
</file>